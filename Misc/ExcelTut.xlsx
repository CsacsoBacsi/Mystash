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7235" windowHeight="10545"/>
  </bookViews>
  <sheets>
    <sheet name="Sheet1" sheetId="1" r:id="rId1"/>
    <sheet name="Sheet2" sheetId="2" r:id="rId2"/>
    <sheet name="Sheet3" sheetId="3" r:id="rId3"/>
  </sheets>
  <definedNames>
    <definedName name="SV">Sheet1!$A$45:$A$49</definedName>
  </definedNames>
  <calcPr calcId="145621"/>
</workbook>
</file>

<file path=xl/calcChain.xml><?xml version="1.0" encoding="utf-8"?>
<calcChain xmlns="http://schemas.openxmlformats.org/spreadsheetml/2006/main">
  <c r="C152" i="1" l="1"/>
  <c r="C151" i="1"/>
  <c r="C150" i="1"/>
  <c r="C149" i="1"/>
  <c r="C148" i="1"/>
  <c r="C147" i="1"/>
  <c r="C146" i="1"/>
  <c r="C145" i="1"/>
  <c r="C144" i="1"/>
  <c r="C143" i="1"/>
  <c r="C142" i="1"/>
  <c r="C141" i="1"/>
  <c r="C153" i="1" s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3" i="1"/>
  <c r="C102" i="1"/>
  <c r="C101" i="1"/>
  <c r="C96" i="1"/>
  <c r="C95" i="1"/>
  <c r="C94" i="1"/>
  <c r="C91" i="1"/>
  <c r="C104" i="1" s="1"/>
  <c r="C90" i="1"/>
  <c r="C87" i="1"/>
  <c r="C86" i="1"/>
  <c r="C85" i="1"/>
  <c r="C84" i="1"/>
  <c r="C83" i="1"/>
  <c r="C64" i="1"/>
  <c r="C63" i="1"/>
  <c r="C61" i="1"/>
  <c r="C60" i="1"/>
  <c r="C56" i="1"/>
  <c r="C55" i="1"/>
  <c r="C54" i="1"/>
  <c r="C53" i="1"/>
  <c r="C52" i="1"/>
  <c r="C51" i="1"/>
  <c r="C50" i="1"/>
  <c r="C49" i="1"/>
  <c r="C48" i="1"/>
  <c r="C47" i="1"/>
  <c r="C46" i="1"/>
  <c r="C65" i="1" s="1" a="1"/>
  <c r="C45" i="1"/>
  <c r="C41" i="1"/>
  <c r="C39" i="1"/>
  <c r="C40" i="1" s="1"/>
  <c r="C38" i="1"/>
  <c r="C37" i="1"/>
  <c r="C36" i="1"/>
  <c r="C35" i="1"/>
  <c r="C34" i="1"/>
  <c r="C33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62" i="1" s="1"/>
  <c r="C57" i="1"/>
  <c r="C58" i="1"/>
  <c r="C67" i="1" l="1"/>
  <c r="C65" i="1"/>
  <c r="C66" i="1"/>
  <c r="C93" i="1"/>
  <c r="C97" i="1"/>
  <c r="C99" i="1"/>
  <c r="C92" i="1"/>
  <c r="C98" i="1"/>
  <c r="C100" i="1"/>
</calcChain>
</file>

<file path=xl/sharedStrings.xml><?xml version="1.0" encoding="utf-8"?>
<sst xmlns="http://schemas.openxmlformats.org/spreadsheetml/2006/main" count="252" uniqueCount="243">
  <si>
    <t>Test values</t>
  </si>
  <si>
    <t>Function</t>
  </si>
  <si>
    <t>Example</t>
  </si>
  <si>
    <t>Comment</t>
  </si>
  <si>
    <t>TEXT FUNCTIONS</t>
  </si>
  <si>
    <t xml:space="preserve">this is my text for learning! </t>
  </si>
  <si>
    <t>CHAR</t>
  </si>
  <si>
    <t>Turns the ASCII value into char</t>
  </si>
  <si>
    <t>this is another text</t>
  </si>
  <si>
    <t>LEN</t>
  </si>
  <si>
    <t>Returns the length of the string</t>
  </si>
  <si>
    <t>CLEAN</t>
  </si>
  <si>
    <t>Removes non-printables</t>
  </si>
  <si>
    <t>find me</t>
  </si>
  <si>
    <t>CODE</t>
  </si>
  <si>
    <t>Returns the ASCII value of the first char of the string</t>
  </si>
  <si>
    <t>text</t>
  </si>
  <si>
    <t>CONCATENATE</t>
  </si>
  <si>
    <t>Concatenates strings</t>
  </si>
  <si>
    <t>New length with non-printable char</t>
  </si>
  <si>
    <t>CAPITAL</t>
  </si>
  <si>
    <t>Add non-printable char</t>
  </si>
  <si>
    <t>lower</t>
  </si>
  <si>
    <t>Clean it</t>
  </si>
  <si>
    <t>EXACT</t>
  </si>
  <si>
    <t>String comparison</t>
  </si>
  <si>
    <t>98765.4321</t>
  </si>
  <si>
    <t>FIND</t>
  </si>
  <si>
    <t>Find one string in another (case sensitive)</t>
  </si>
  <si>
    <t>Found at position 12 (1 based counting)</t>
  </si>
  <si>
    <t>FIXED</t>
  </si>
  <si>
    <t>Rounds and converts number into text</t>
  </si>
  <si>
    <t>LEFT</t>
  </si>
  <si>
    <t>Returns n amount of chars from the left of the string</t>
  </si>
  <si>
    <t>RIGHT</t>
  </si>
  <si>
    <t>Returns n amount of chars from the right of the string</t>
  </si>
  <si>
    <t>LOWER</t>
  </si>
  <si>
    <t>Lowercase strings</t>
  </si>
  <si>
    <t>UPPER</t>
  </si>
  <si>
    <t>Uppercase strings</t>
  </si>
  <si>
    <t>MID</t>
  </si>
  <si>
    <t>Returns a subset of a string</t>
  </si>
  <si>
    <t>PROPER</t>
  </si>
  <si>
    <t>Capitalizes every word</t>
  </si>
  <si>
    <t>REPLACE</t>
  </si>
  <si>
    <t>Replaces chars in the string</t>
  </si>
  <si>
    <t>REPT</t>
  </si>
  <si>
    <t>Repeats text n times</t>
  </si>
  <si>
    <t>SEARCH</t>
  </si>
  <si>
    <t>Finds text in another one (not case sensitive)</t>
  </si>
  <si>
    <t>SUBSTITUTE</t>
  </si>
  <si>
    <t>Substitutes text for another</t>
  </si>
  <si>
    <t>T</t>
  </si>
  <si>
    <t>Tests for text value</t>
  </si>
  <si>
    <t>TEXT</t>
  </si>
  <si>
    <t>Format values to text</t>
  </si>
  <si>
    <t>TRIM</t>
  </si>
  <si>
    <t>Removes spaces from both sides of the text</t>
  </si>
  <si>
    <t>VALUE</t>
  </si>
  <si>
    <t>Converts text to number</t>
  </si>
  <si>
    <t>CONDITIONAL</t>
  </si>
  <si>
    <t>IF</t>
  </si>
  <si>
    <t>Tests condition and returns true or false value</t>
  </si>
  <si>
    <t>Can be embedded</t>
  </si>
  <si>
    <t>You can use functions as well</t>
  </si>
  <si>
    <t>AND</t>
  </si>
  <si>
    <t>Arguments must be true to be true</t>
  </si>
  <si>
    <t>Can be combined with IF</t>
  </si>
  <si>
    <t>OR</t>
  </si>
  <si>
    <t>Either or one of the arguments is true then true</t>
  </si>
  <si>
    <t>TRUE</t>
  </si>
  <si>
    <t>Returns the logical value of TRUE</t>
  </si>
  <si>
    <t>NOT</t>
  </si>
  <si>
    <t>Reverses the logic</t>
  </si>
  <si>
    <t>LOOKUP &amp; REFERENCE</t>
  </si>
  <si>
    <t>Search vector (SV)</t>
  </si>
  <si>
    <t>LOOKUP</t>
  </si>
  <si>
    <t>Looks up a value in a vector and returns the largest that is less than the value</t>
  </si>
  <si>
    <t>Finds the value and returns the corresponding value from another vector</t>
  </si>
  <si>
    <t>Array form</t>
  </si>
  <si>
    <t>HLOOKUP</t>
  </si>
  <si>
    <t>Looks up a value in the first row of the table and returns value from a row specified by the user</t>
  </si>
  <si>
    <t>VLOOKUP</t>
  </si>
  <si>
    <t>Looks up a value in the first column of the table and returns value from a column specified by the user</t>
  </si>
  <si>
    <t>Result vector</t>
  </si>
  <si>
    <t>ADDRESS</t>
  </si>
  <si>
    <t>Gives a reference to a cell defined by row and col</t>
  </si>
  <si>
    <t>A</t>
  </si>
  <si>
    <t>AREAS</t>
  </si>
  <si>
    <t>Still 1 area</t>
  </si>
  <si>
    <t>B</t>
  </si>
  <si>
    <t>Two areas as A12 is outside the range</t>
  </si>
  <si>
    <t>C</t>
  </si>
  <si>
    <t>CHOOSE</t>
  </si>
  <si>
    <t>Chooses the selected by index option</t>
  </si>
  <si>
    <t>D</t>
  </si>
  <si>
    <t>COLUMNS</t>
  </si>
  <si>
    <t>Returns the number of column in the reference</t>
  </si>
  <si>
    <t>E</t>
  </si>
  <si>
    <t>ROWS</t>
  </si>
  <si>
    <t>Returns the number of rows in the reference</t>
  </si>
  <si>
    <t>INDEX</t>
  </si>
  <si>
    <t>Retrieves from a range the cell value specified by the col and row indices</t>
  </si>
  <si>
    <t>$A$53</t>
  </si>
  <si>
    <t>INDIRECT</t>
  </si>
  <si>
    <t>Fetches the value referenced by a reference in the cell specified as argument</t>
  </si>
  <si>
    <t>X</t>
  </si>
  <si>
    <t>A58 is named Csacsi, A59 contains this reference</t>
  </si>
  <si>
    <t>Csacsi</t>
  </si>
  <si>
    <t>SUM</t>
  </si>
  <si>
    <t>Cells A45:A49 are defined as SV</t>
  </si>
  <si>
    <t>MATCH</t>
  </si>
  <si>
    <t>Find a value within a range or array</t>
  </si>
  <si>
    <t>OFFSET</t>
  </si>
  <si>
    <t>Offset from a reference. How many rows and cols away</t>
  </si>
  <si>
    <t>COLUMN</t>
  </si>
  <si>
    <t>Returns the column of a reference</t>
  </si>
  <si>
    <t>ROW</t>
  </si>
  <si>
    <t>Returns the row of a reference</t>
  </si>
  <si>
    <t>TRANSPOSE</t>
  </si>
  <si>
    <t>Select range then F2 (edit mode) then CTRL+SHIFT+ENTER to transpose the values. Array formula!</t>
  </si>
  <si>
    <t>DATABASE</t>
  </si>
  <si>
    <t>Database</t>
  </si>
  <si>
    <t>Name</t>
  </si>
  <si>
    <t>Age</t>
  </si>
  <si>
    <t>Salary</t>
  </si>
  <si>
    <t>Department</t>
  </si>
  <si>
    <t>IT</t>
  </si>
  <si>
    <t>Bocsi</t>
  </si>
  <si>
    <t>Marketing</t>
  </si>
  <si>
    <t>Panka</t>
  </si>
  <si>
    <t>Geo</t>
  </si>
  <si>
    <t>Marci</t>
  </si>
  <si>
    <t>School</t>
  </si>
  <si>
    <t>Reka</t>
  </si>
  <si>
    <t>Criteria table</t>
  </si>
  <si>
    <t>&lt;50</t>
  </si>
  <si>
    <t>&gt;30</t>
  </si>
  <si>
    <t>DMAX</t>
  </si>
  <si>
    <t>Same column conditions=OR same row=AND</t>
  </si>
  <si>
    <t>DSUM</t>
  </si>
  <si>
    <t>Can not have empty rows as criteria as it does not work then</t>
  </si>
  <si>
    <t>DCOUNT</t>
  </si>
  <si>
    <t>Counts numbers only</t>
  </si>
  <si>
    <t>DAVERAGE</t>
  </si>
  <si>
    <t>Average of salaries based on criteria</t>
  </si>
  <si>
    <t>COUNTA</t>
  </si>
  <si>
    <t>Counts the number of non-null cells</t>
  </si>
  <si>
    <t>DATES</t>
  </si>
  <si>
    <t>DATE</t>
  </si>
  <si>
    <t>Returns the canonical date if formatted as number</t>
  </si>
  <si>
    <t>DATEVALUE</t>
  </si>
  <si>
    <t>Returns date from a text</t>
  </si>
  <si>
    <t>EDATE</t>
  </si>
  <si>
    <t>Same as add_month</t>
  </si>
  <si>
    <t>EOMONTH</t>
  </si>
  <si>
    <t>Same as add month plus returns the last day of that month</t>
  </si>
  <si>
    <t>HOUR</t>
  </si>
  <si>
    <t>Returns the hour from a timestamp</t>
  </si>
  <si>
    <t>MINUTE</t>
  </si>
  <si>
    <t>Returns the minute from a timestamp</t>
  </si>
  <si>
    <t>SECOND</t>
  </si>
  <si>
    <t>Returns the second from a timestamp</t>
  </si>
  <si>
    <t>DAY</t>
  </si>
  <si>
    <t>Returns the nth day of the month from the date</t>
  </si>
  <si>
    <t>MONTH</t>
  </si>
  <si>
    <t>Returns the nth month of the year from the date</t>
  </si>
  <si>
    <t>YEAR</t>
  </si>
  <si>
    <t>Returns the year component of a date</t>
  </si>
  <si>
    <t>NETWORKDAYS</t>
  </si>
  <si>
    <t>Workdays between two dates</t>
  </si>
  <si>
    <t>NOW</t>
  </si>
  <si>
    <t>Returns the current date and time</t>
  </si>
  <si>
    <t>TIME</t>
  </si>
  <si>
    <t>Returns the time from its components</t>
  </si>
  <si>
    <t>TODAY</t>
  </si>
  <si>
    <t>Returns today's date</t>
  </si>
  <si>
    <t>WEEKDAY</t>
  </si>
  <si>
    <t>Returns the nth day of the week</t>
  </si>
  <si>
    <t>MATH</t>
  </si>
  <si>
    <t>EVEN</t>
  </si>
  <si>
    <t>Rounds up to the nearest even number</t>
  </si>
  <si>
    <t>ODD</t>
  </si>
  <si>
    <t>Rounds up to the nearest odd number</t>
  </si>
  <si>
    <t>CEILING</t>
  </si>
  <si>
    <t>Rounds numbers up</t>
  </si>
  <si>
    <t>FLOOR</t>
  </si>
  <si>
    <t>Rounds numbers down</t>
  </si>
  <si>
    <t>GCD</t>
  </si>
  <si>
    <t>Returns the greatest common divider</t>
  </si>
  <si>
    <t>INT</t>
  </si>
  <si>
    <t>Takes the integer part</t>
  </si>
  <si>
    <t>LCM</t>
  </si>
  <si>
    <t>Returns the least common multiple</t>
  </si>
  <si>
    <t>MOD</t>
  </si>
  <si>
    <t>Returns the remainder after division</t>
  </si>
  <si>
    <t>QUOTIENT</t>
  </si>
  <si>
    <t>Returns the integer bit after division</t>
  </si>
  <si>
    <t>PRODUCT</t>
  </si>
  <si>
    <t>Multiplies the array values</t>
  </si>
  <si>
    <t>RANDBETWEEN</t>
  </si>
  <si>
    <t>Returns a random number between parameters</t>
  </si>
  <si>
    <t>ROMAN</t>
  </si>
  <si>
    <t>Converts arabic numbers to Roman</t>
  </si>
  <si>
    <t>ROUND</t>
  </si>
  <si>
    <t>Rounds to specified digits</t>
  </si>
  <si>
    <t>SIGN</t>
  </si>
  <si>
    <t>Returns the sign of a number</t>
  </si>
  <si>
    <t>SUMSQ</t>
  </si>
  <si>
    <t>Sum of squares of numbers</t>
  </si>
  <si>
    <t>TRUNC</t>
  </si>
  <si>
    <t>Drops the decimal bit</t>
  </si>
  <si>
    <t>SUBTOTAL</t>
  </si>
  <si>
    <t>INFORMATION</t>
  </si>
  <si>
    <t>CELL</t>
  </si>
  <si>
    <t>Different info about a cell</t>
  </si>
  <si>
    <t>INFO</t>
  </si>
  <si>
    <t>Returns info about the system</t>
  </si>
  <si>
    <t>ISBLANK</t>
  </si>
  <si>
    <t>Returns true if cell is blank</t>
  </si>
  <si>
    <t>ISERR</t>
  </si>
  <si>
    <t>Is there an error in a cell?</t>
  </si>
  <si>
    <t>ISEVEN</t>
  </si>
  <si>
    <t>Even?</t>
  </si>
  <si>
    <t>ISODD</t>
  </si>
  <si>
    <t>Odd?</t>
  </si>
  <si>
    <t>ISLOGICAL</t>
  </si>
  <si>
    <t>Logical value?</t>
  </si>
  <si>
    <t>ISNONTEXT</t>
  </si>
  <si>
    <t>Returns true if cell is non-text</t>
  </si>
  <si>
    <t>Haho</t>
  </si>
  <si>
    <t>ISNUMBER</t>
  </si>
  <si>
    <t>Returns true if cell value is number</t>
  </si>
  <si>
    <t>ISTEXT</t>
  </si>
  <si>
    <t>Returns true if cell value is text</t>
  </si>
  <si>
    <t>N</t>
  </si>
  <si>
    <t>Converts the cell to a number</t>
  </si>
  <si>
    <t>TYPE</t>
  </si>
  <si>
    <t>Returns the datatype number of the cell value</t>
  </si>
  <si>
    <t>DATA MENU POINT</t>
  </si>
  <si>
    <t>Original values</t>
  </si>
  <si>
    <t>Sorted</t>
  </si>
  <si>
    <t>Myfilters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</si>
</sst>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/>
    <xf numFmtId="0" fontId="0" fillId="0" borderId="0" xfId="0" quotePrefix="1"/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/>
    <xf numFmtId="164" fontId="0" fillId="0" borderId="0" xfId="1" applyNumberFormat="1" applyFont="1"/>
    <xf numFmtId="18" fontId="0" fillId="0" borderId="0" xfId="0" applyNumberFormat="1"/>
    <xf numFmtId="22" fontId="0" fillId="0" borderId="0" xfId="0" applyNumberFormat="1"/>
    <xf numFmtId="14" fontId="0" fillId="0" borderId="0" xfId="0" quotePrefix="1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topLeftCell="A120" workbookViewId="0">
      <selection activeCell="E1" sqref="E1"/>
    </sheetView>
  </sheetViews>
  <sheetFormatPr defaultRowHeight="15" x14ac:dyDescent="0.25"/>
  <cols>
    <col min="1" max="1" width="25.7109375" bestFit="1" customWidth="1"/>
    <col min="2" max="2" width="14.7109375" bestFit="1" customWidth="1"/>
    <col min="3" max="3" width="40.140625" bestFit="1" customWidth="1"/>
    <col min="4" max="4" width="9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t="s">
        <v>5</v>
      </c>
      <c r="B3" t="s">
        <v>6</v>
      </c>
      <c r="C3" t="str">
        <f>CHAR(65)</f>
        <v>A</v>
      </c>
      <c r="D3" t="s">
        <v>7</v>
      </c>
    </row>
    <row r="4" spans="1:4" x14ac:dyDescent="0.25">
      <c r="A4" t="s">
        <v>8</v>
      </c>
      <c r="B4" t="s">
        <v>9</v>
      </c>
      <c r="C4">
        <f>LEN(A3)</f>
        <v>30</v>
      </c>
      <c r="D4" t="s">
        <v>10</v>
      </c>
    </row>
    <row r="5" spans="1:4" x14ac:dyDescent="0.25">
      <c r="A5" t="s">
        <v>8</v>
      </c>
      <c r="B5" t="s">
        <v>11</v>
      </c>
      <c r="C5" t="str">
        <f>CLEAN(A3)</f>
        <v xml:space="preserve">this is my text for learning! </v>
      </c>
      <c r="D5" t="s">
        <v>12</v>
      </c>
    </row>
    <row r="6" spans="1:4" x14ac:dyDescent="0.25">
      <c r="A6" t="s">
        <v>13</v>
      </c>
      <c r="B6" t="s">
        <v>14</v>
      </c>
      <c r="C6">
        <f>CODE(A3)</f>
        <v>116</v>
      </c>
      <c r="D6" t="s">
        <v>15</v>
      </c>
    </row>
    <row r="7" spans="1:4" x14ac:dyDescent="0.25">
      <c r="A7" t="s">
        <v>16</v>
      </c>
      <c r="B7" t="s">
        <v>17</v>
      </c>
      <c r="C7" t="str">
        <f>CONCATENATE(A3,CHAR(65),"Another string")</f>
        <v>this is my text for learning! AAnother string</v>
      </c>
      <c r="D7" t="s">
        <v>18</v>
      </c>
    </row>
    <row r="8" spans="1:4" x14ac:dyDescent="0.25">
      <c r="A8">
        <v>12345.678900000001</v>
      </c>
      <c r="C8">
        <f>LEN(CONCATENATE(A3,CHAR(8)))</f>
        <v>31</v>
      </c>
      <c r="D8" t="s">
        <v>19</v>
      </c>
    </row>
    <row r="9" spans="1:4" x14ac:dyDescent="0.25">
      <c r="A9" t="s">
        <v>20</v>
      </c>
      <c r="C9" t="str">
        <f>CONCATENATE(A3,CHAR(8))</f>
        <v>this is my text for learning! _x0008_</v>
      </c>
      <c r="D9" t="s">
        <v>21</v>
      </c>
    </row>
    <row r="10" spans="1:4" x14ac:dyDescent="0.25">
      <c r="A10" t="s">
        <v>22</v>
      </c>
      <c r="C10" t="str">
        <f>CLEAN(C9)</f>
        <v xml:space="preserve">this is my text for learning! </v>
      </c>
      <c r="D10" t="s">
        <v>23</v>
      </c>
    </row>
    <row r="11" spans="1:4" x14ac:dyDescent="0.25">
      <c r="A11" s="3">
        <v>41828</v>
      </c>
      <c r="B11" t="s">
        <v>24</v>
      </c>
      <c r="C11" t="b">
        <f>EXACT(A3,A4)</f>
        <v>0</v>
      </c>
      <c r="D11" t="s">
        <v>25</v>
      </c>
    </row>
    <row r="12" spans="1:4" x14ac:dyDescent="0.25">
      <c r="A12" s="4" t="s">
        <v>26</v>
      </c>
      <c r="C12" t="b">
        <f>EXACT(A4,A5)</f>
        <v>1</v>
      </c>
    </row>
    <row r="13" spans="1:4" x14ac:dyDescent="0.25">
      <c r="B13" t="s">
        <v>27</v>
      </c>
      <c r="C13" t="e">
        <f>FIND(A6,A3)</f>
        <v>#VALUE!</v>
      </c>
      <c r="D13" t="s">
        <v>28</v>
      </c>
    </row>
    <row r="14" spans="1:4" x14ac:dyDescent="0.25">
      <c r="C14">
        <f>FIND(A7,A3)</f>
        <v>12</v>
      </c>
      <c r="D14" t="s">
        <v>29</v>
      </c>
    </row>
    <row r="15" spans="1:4" x14ac:dyDescent="0.25">
      <c r="B15" t="s">
        <v>30</v>
      </c>
      <c r="C15" t="str">
        <f>FIXED(A8,2)</f>
        <v>12,345.68</v>
      </c>
      <c r="D15" t="s">
        <v>31</v>
      </c>
    </row>
    <row r="16" spans="1:4" x14ac:dyDescent="0.25">
      <c r="B16" t="s">
        <v>32</v>
      </c>
      <c r="C16" t="str">
        <f>LEFT(A3,4)</f>
        <v>this</v>
      </c>
      <c r="D16" t="s">
        <v>33</v>
      </c>
    </row>
    <row r="17" spans="1:4" x14ac:dyDescent="0.25">
      <c r="B17" t="s">
        <v>34</v>
      </c>
      <c r="C17" t="str">
        <f>RIGHT(A3,9)</f>
        <v xml:space="preserve">earning! </v>
      </c>
      <c r="D17" t="s">
        <v>35</v>
      </c>
    </row>
    <row r="18" spans="1:4" x14ac:dyDescent="0.25">
      <c r="B18" t="s">
        <v>36</v>
      </c>
      <c r="C18" t="str">
        <f>LOWER(A9)</f>
        <v>capital</v>
      </c>
      <c r="D18" t="s">
        <v>37</v>
      </c>
    </row>
    <row r="19" spans="1:4" x14ac:dyDescent="0.25">
      <c r="B19" t="s">
        <v>38</v>
      </c>
      <c r="C19" t="str">
        <f>UPPER(A10)</f>
        <v>LOWER</v>
      </c>
      <c r="D19" t="s">
        <v>39</v>
      </c>
    </row>
    <row r="20" spans="1:4" x14ac:dyDescent="0.25">
      <c r="B20" t="s">
        <v>40</v>
      </c>
      <c r="C20" t="str">
        <f>MID(A3,9,7)</f>
        <v>my text</v>
      </c>
      <c r="D20" t="s">
        <v>41</v>
      </c>
    </row>
    <row r="21" spans="1:4" x14ac:dyDescent="0.25">
      <c r="B21" t="s">
        <v>42</v>
      </c>
      <c r="C21" t="str">
        <f>PROPER(A3)</f>
        <v xml:space="preserve">This Is My Text For Learning! </v>
      </c>
      <c r="D21" t="s">
        <v>43</v>
      </c>
    </row>
    <row r="22" spans="1:4" x14ac:dyDescent="0.25">
      <c r="B22" t="s">
        <v>44</v>
      </c>
      <c r="C22" t="str">
        <f>REPLACE(A4,9,7,"nice")</f>
        <v>this is nice text</v>
      </c>
      <c r="D22" t="s">
        <v>45</v>
      </c>
    </row>
    <row r="23" spans="1:4" x14ac:dyDescent="0.25">
      <c r="B23" t="s">
        <v>46</v>
      </c>
      <c r="C23" t="str">
        <f>REPT(A7,3)</f>
        <v>texttexttext</v>
      </c>
      <c r="D23" t="s">
        <v>47</v>
      </c>
    </row>
    <row r="24" spans="1:4" x14ac:dyDescent="0.25">
      <c r="B24" t="s">
        <v>48</v>
      </c>
      <c r="C24">
        <f>SEARCH("text",A3)</f>
        <v>12</v>
      </c>
      <c r="D24" t="s">
        <v>49</v>
      </c>
    </row>
    <row r="25" spans="1:4" x14ac:dyDescent="0.25">
      <c r="B25" t="s">
        <v>50</v>
      </c>
      <c r="C25" t="str">
        <f>SUBSTITUTE(A3,"my","your")</f>
        <v xml:space="preserve">this is your text for learning! </v>
      </c>
      <c r="D25" t="s">
        <v>51</v>
      </c>
    </row>
    <row r="26" spans="1:4" x14ac:dyDescent="0.25">
      <c r="B26" t="s">
        <v>52</v>
      </c>
      <c r="C26" t="str">
        <f>T(A8)</f>
        <v/>
      </c>
      <c r="D26" t="s">
        <v>53</v>
      </c>
    </row>
    <row r="27" spans="1:4" x14ac:dyDescent="0.25">
      <c r="C27" t="str">
        <f>T(A7)</f>
        <v>text</v>
      </c>
    </row>
    <row r="28" spans="1:4" x14ac:dyDescent="0.25">
      <c r="B28" t="s">
        <v>54</v>
      </c>
      <c r="C28" t="str">
        <f>TEXT(A11,"yyyy-mm-dd")</f>
        <v>2014-07-08</v>
      </c>
      <c r="D28" t="s">
        <v>55</v>
      </c>
    </row>
    <row r="29" spans="1:4" x14ac:dyDescent="0.25">
      <c r="B29" t="s">
        <v>56</v>
      </c>
      <c r="C29" t="str">
        <f>TRIM(A3)</f>
        <v>this is my text for learning!</v>
      </c>
      <c r="D29" t="s">
        <v>57</v>
      </c>
    </row>
    <row r="30" spans="1:4" x14ac:dyDescent="0.25">
      <c r="B30" t="s">
        <v>58</v>
      </c>
      <c r="C30">
        <f>VALUE(A12)</f>
        <v>98765.432100000005</v>
      </c>
      <c r="D30" t="s">
        <v>59</v>
      </c>
    </row>
    <row r="32" spans="1:4" x14ac:dyDescent="0.25">
      <c r="A32" s="2" t="s">
        <v>60</v>
      </c>
      <c r="B32" s="2"/>
      <c r="C32" s="2"/>
      <c r="D32" s="2"/>
    </row>
    <row r="33" spans="1:4" x14ac:dyDescent="0.25">
      <c r="A33">
        <v>100</v>
      </c>
      <c r="B33" t="s">
        <v>61</v>
      </c>
      <c r="C33" t="str">
        <f>IF(A31&lt;1000,"Less than 1000","Greater than 1000")</f>
        <v>Less than 1000</v>
      </c>
      <c r="D33" t="s">
        <v>62</v>
      </c>
    </row>
    <row r="34" spans="1:4" x14ac:dyDescent="0.25">
      <c r="A34">
        <v>1000</v>
      </c>
      <c r="C34" t="str">
        <f>IF(A34=100,"100!",IF(A34=1000,"1000!","-"))</f>
        <v>1000!</v>
      </c>
      <c r="D34" t="s">
        <v>63</v>
      </c>
    </row>
    <row r="35" spans="1:4" x14ac:dyDescent="0.25">
      <c r="A35">
        <v>100</v>
      </c>
      <c r="C35" t="str">
        <f>IF(EXACT(A4,A5),"Identical","Different")</f>
        <v>Identical</v>
      </c>
      <c r="D35" t="s">
        <v>64</v>
      </c>
    </row>
    <row r="36" spans="1:4" x14ac:dyDescent="0.25">
      <c r="B36" t="s">
        <v>65</v>
      </c>
      <c r="C36" t="b">
        <f>AND(A33=A35)</f>
        <v>1</v>
      </c>
      <c r="D36" t="s">
        <v>66</v>
      </c>
    </row>
    <row r="37" spans="1:4" x14ac:dyDescent="0.25">
      <c r="C37" t="str">
        <f>IF(AND(A33=A35),"Same value","Different value")</f>
        <v>Same value</v>
      </c>
      <c r="D37" t="s">
        <v>67</v>
      </c>
    </row>
    <row r="38" spans="1:4" x14ac:dyDescent="0.25">
      <c r="B38" t="s">
        <v>68</v>
      </c>
      <c r="C38" t="b">
        <f>OR(A33&gt;50,A35&lt;99)</f>
        <v>1</v>
      </c>
      <c r="D38" t="s">
        <v>69</v>
      </c>
    </row>
    <row r="39" spans="1:4" x14ac:dyDescent="0.25">
      <c r="B39" s="4" t="s">
        <v>70</v>
      </c>
      <c r="C39" t="b">
        <f>TRUE()</f>
        <v>1</v>
      </c>
      <c r="D39" t="s">
        <v>71</v>
      </c>
    </row>
    <row r="40" spans="1:4" x14ac:dyDescent="0.25">
      <c r="C40" t="str">
        <f>IF(C39,"C39 is true","C39 is false")</f>
        <v>C39 is true</v>
      </c>
    </row>
    <row r="41" spans="1:4" x14ac:dyDescent="0.25">
      <c r="B41" t="s">
        <v>72</v>
      </c>
      <c r="C41" t="b">
        <f>NOT(TRUE())</f>
        <v>0</v>
      </c>
      <c r="D41" t="s">
        <v>73</v>
      </c>
    </row>
    <row r="43" spans="1:4" x14ac:dyDescent="0.25">
      <c r="A43" s="2" t="s">
        <v>74</v>
      </c>
      <c r="B43" s="2"/>
      <c r="C43" s="2"/>
      <c r="D43" s="2"/>
    </row>
    <row r="44" spans="1:4" x14ac:dyDescent="0.25">
      <c r="A44" s="5" t="s">
        <v>75</v>
      </c>
      <c r="B44" s="6"/>
      <c r="C44" s="6"/>
      <c r="D44" s="6"/>
    </row>
    <row r="45" spans="1:4" x14ac:dyDescent="0.25">
      <c r="A45">
        <v>10</v>
      </c>
      <c r="B45" t="s">
        <v>76</v>
      </c>
      <c r="C45">
        <f>LOOKUP(102,A45:A49)</f>
        <v>100</v>
      </c>
      <c r="D45" t="s">
        <v>77</v>
      </c>
    </row>
    <row r="46" spans="1:4" x14ac:dyDescent="0.25">
      <c r="A46">
        <v>50</v>
      </c>
      <c r="C46" t="str">
        <f>LOOKUP(200,A45:A49,A51:A55)</f>
        <v>D</v>
      </c>
      <c r="D46" t="s">
        <v>78</v>
      </c>
    </row>
    <row r="47" spans="1:4" x14ac:dyDescent="0.25">
      <c r="A47">
        <v>100</v>
      </c>
      <c r="C47">
        <f>LOOKUP(30,{10,20,30,40;100,200,300,400})</f>
        <v>300</v>
      </c>
      <c r="D47" t="s">
        <v>79</v>
      </c>
    </row>
    <row r="48" spans="1:4" x14ac:dyDescent="0.25">
      <c r="A48">
        <v>200</v>
      </c>
      <c r="B48" t="s">
        <v>80</v>
      </c>
      <c r="C48" t="str">
        <f>HLOOKUP(10,{5,10,20;"A","B","C";50,100,200},2)</f>
        <v>B</v>
      </c>
      <c r="D48" t="s">
        <v>81</v>
      </c>
    </row>
    <row r="49" spans="1:4" x14ac:dyDescent="0.25">
      <c r="A49">
        <v>1000</v>
      </c>
      <c r="B49" t="s">
        <v>82</v>
      </c>
      <c r="C49" t="str">
        <f>VLOOKUP(21,{1,"A",10;5,"B",50;10,"C",100;20,"D",200;50,"E",500},2)</f>
        <v>D</v>
      </c>
      <c r="D49" t="s">
        <v>83</v>
      </c>
    </row>
    <row r="50" spans="1:4" x14ac:dyDescent="0.25">
      <c r="A50" s="7" t="s">
        <v>84</v>
      </c>
      <c r="B50" t="s">
        <v>85</v>
      </c>
      <c r="C50" t="str">
        <f>ADDRESS(2,3)</f>
        <v>$C$2</v>
      </c>
      <c r="D50" t="s">
        <v>86</v>
      </c>
    </row>
    <row r="51" spans="1:4" x14ac:dyDescent="0.25">
      <c r="A51" t="s">
        <v>87</v>
      </c>
      <c r="B51" t="s">
        <v>88</v>
      </c>
      <c r="C51">
        <f>AREAS(A1:C10 A5)</f>
        <v>1</v>
      </c>
      <c r="D51" t="s">
        <v>89</v>
      </c>
    </row>
    <row r="52" spans="1:4" x14ac:dyDescent="0.25">
      <c r="A52" t="s">
        <v>90</v>
      </c>
      <c r="C52">
        <f>AREAS((A2:C11,A12))</f>
        <v>2</v>
      </c>
      <c r="D52" t="s">
        <v>91</v>
      </c>
    </row>
    <row r="53" spans="1:4" x14ac:dyDescent="0.25">
      <c r="A53" t="s">
        <v>92</v>
      </c>
      <c r="B53" t="s">
        <v>93</v>
      </c>
      <c r="C53">
        <f>SUM(CHOOSE(2,A45:A47,A45:A48,A47:A49))</f>
        <v>360</v>
      </c>
      <c r="D53" t="s">
        <v>94</v>
      </c>
    </row>
    <row r="54" spans="1:4" x14ac:dyDescent="0.25">
      <c r="A54" t="s">
        <v>95</v>
      </c>
      <c r="B54" t="s">
        <v>96</v>
      </c>
      <c r="C54">
        <f>COLUMNS(A2:M4)</f>
        <v>13</v>
      </c>
      <c r="D54" t="s">
        <v>97</v>
      </c>
    </row>
    <row r="55" spans="1:4" x14ac:dyDescent="0.25">
      <c r="A55" t="s">
        <v>98</v>
      </c>
      <c r="B55" t="s">
        <v>99</v>
      </c>
      <c r="C55">
        <f>ROWS(A2:A10)</f>
        <v>9</v>
      </c>
      <c r="D55" t="s">
        <v>100</v>
      </c>
    </row>
    <row r="56" spans="1:4" x14ac:dyDescent="0.25">
      <c r="B56" t="s">
        <v>101</v>
      </c>
      <c r="C56" t="str">
        <f>INDEX(A45:B56,4,2)</f>
        <v>HLOOKUP</v>
      </c>
      <c r="D56" t="s">
        <v>102</v>
      </c>
    </row>
    <row r="57" spans="1:4" x14ac:dyDescent="0.25">
      <c r="A57" t="s">
        <v>103</v>
      </c>
      <c r="B57" t="s">
        <v>104</v>
      </c>
      <c r="C57" t="str">
        <f ca="1">INDIRECT(A57)</f>
        <v>C</v>
      </c>
      <c r="D57" t="s">
        <v>105</v>
      </c>
    </row>
    <row r="58" spans="1:4" x14ac:dyDescent="0.25">
      <c r="A58" t="s">
        <v>106</v>
      </c>
      <c r="C58" t="e">
        <f ca="1">INDIRECT($A$59)</f>
        <v>#REF!</v>
      </c>
      <c r="D58" t="s">
        <v>107</v>
      </c>
    </row>
    <row r="59" spans="1:4" x14ac:dyDescent="0.25">
      <c r="A59" t="s">
        <v>108</v>
      </c>
    </row>
    <row r="60" spans="1:4" x14ac:dyDescent="0.25">
      <c r="B60" t="s">
        <v>109</v>
      </c>
      <c r="C60">
        <f>SUM(SV)</f>
        <v>1360</v>
      </c>
      <c r="D60" t="s">
        <v>110</v>
      </c>
    </row>
    <row r="61" spans="1:4" x14ac:dyDescent="0.25">
      <c r="B61" t="s">
        <v>111</v>
      </c>
      <c r="C61">
        <f>MATCH(200,SV)</f>
        <v>4</v>
      </c>
      <c r="D61" t="s">
        <v>112</v>
      </c>
    </row>
    <row r="62" spans="1:4" x14ac:dyDescent="0.25">
      <c r="B62" t="s">
        <v>113</v>
      </c>
      <c r="C62" t="str">
        <f ca="1">OFFSET(A1,2,2)</f>
        <v>A</v>
      </c>
      <c r="D62" t="s">
        <v>114</v>
      </c>
    </row>
    <row r="63" spans="1:4" x14ac:dyDescent="0.25">
      <c r="B63" t="s">
        <v>115</v>
      </c>
      <c r="C63">
        <f>COLUMN(C3)</f>
        <v>3</v>
      </c>
      <c r="D63" t="s">
        <v>116</v>
      </c>
    </row>
    <row r="64" spans="1:4" x14ac:dyDescent="0.25">
      <c r="B64" t="s">
        <v>117</v>
      </c>
      <c r="C64">
        <f>ROW(C5)</f>
        <v>5</v>
      </c>
      <c r="D64" t="s">
        <v>118</v>
      </c>
    </row>
    <row r="65" spans="1:5" x14ac:dyDescent="0.25">
      <c r="B65" t="s">
        <v>119</v>
      </c>
      <c r="C65">
        <f t="array" ref="C65:C67">TRANSPOSE($A$46:$C$46)</f>
        <v>50</v>
      </c>
      <c r="D65" t="s">
        <v>120</v>
      </c>
    </row>
    <row r="66" spans="1:5" x14ac:dyDescent="0.25">
      <c r="C66">
        <v>0</v>
      </c>
    </row>
    <row r="67" spans="1:5" x14ac:dyDescent="0.25">
      <c r="C67" t="str">
        <v>D</v>
      </c>
    </row>
    <row r="69" spans="1:5" x14ac:dyDescent="0.25">
      <c r="A69" s="2" t="s">
        <v>121</v>
      </c>
      <c r="B69" s="2"/>
      <c r="C69" s="2"/>
      <c r="D69" s="2"/>
    </row>
    <row r="70" spans="1:5" x14ac:dyDescent="0.25">
      <c r="A70" s="8" t="s">
        <v>122</v>
      </c>
      <c r="B70" s="9"/>
      <c r="C70" s="9"/>
      <c r="D70" s="9"/>
    </row>
    <row r="71" spans="1:5" x14ac:dyDescent="0.25">
      <c r="A71" s="10" t="s">
        <v>123</v>
      </c>
      <c r="B71" s="10" t="s">
        <v>124</v>
      </c>
      <c r="C71" s="10" t="s">
        <v>125</v>
      </c>
      <c r="D71" s="10" t="s">
        <v>126</v>
      </c>
    </row>
    <row r="72" spans="1:5" x14ac:dyDescent="0.25">
      <c r="A72" t="s">
        <v>108</v>
      </c>
      <c r="B72">
        <v>45</v>
      </c>
      <c r="C72">
        <v>3000</v>
      </c>
      <c r="D72" t="s">
        <v>127</v>
      </c>
    </row>
    <row r="73" spans="1:5" x14ac:dyDescent="0.25">
      <c r="A73" t="s">
        <v>128</v>
      </c>
      <c r="B73">
        <v>52</v>
      </c>
      <c r="C73">
        <v>4100</v>
      </c>
      <c r="D73" t="s">
        <v>129</v>
      </c>
    </row>
    <row r="74" spans="1:5" x14ac:dyDescent="0.25">
      <c r="A74" t="s">
        <v>130</v>
      </c>
      <c r="B74">
        <v>29</v>
      </c>
      <c r="C74">
        <v>1000</v>
      </c>
      <c r="D74" t="s">
        <v>131</v>
      </c>
    </row>
    <row r="75" spans="1:5" x14ac:dyDescent="0.25">
      <c r="A75" t="s">
        <v>132</v>
      </c>
      <c r="B75">
        <v>15</v>
      </c>
      <c r="C75">
        <v>0</v>
      </c>
      <c r="D75" t="s">
        <v>133</v>
      </c>
    </row>
    <row r="76" spans="1:5" x14ac:dyDescent="0.25">
      <c r="A76" t="s">
        <v>134</v>
      </c>
      <c r="B76">
        <v>42</v>
      </c>
      <c r="C76">
        <v>2500</v>
      </c>
      <c r="D76" t="s">
        <v>129</v>
      </c>
    </row>
    <row r="78" spans="1:5" x14ac:dyDescent="0.25">
      <c r="A78" s="10" t="s">
        <v>135</v>
      </c>
      <c r="B78" s="11"/>
      <c r="C78" s="11"/>
      <c r="D78" s="11"/>
    </row>
    <row r="79" spans="1:5" x14ac:dyDescent="0.25">
      <c r="A79" s="10" t="s">
        <v>123</v>
      </c>
      <c r="B79" s="10" t="s">
        <v>124</v>
      </c>
      <c r="C79" s="10" t="s">
        <v>125</v>
      </c>
      <c r="D79" s="10" t="s">
        <v>126</v>
      </c>
      <c r="E79" s="10" t="s">
        <v>124</v>
      </c>
    </row>
    <row r="80" spans="1:5" x14ac:dyDescent="0.25">
      <c r="B80" t="s">
        <v>136</v>
      </c>
      <c r="E80" t="s">
        <v>137</v>
      </c>
    </row>
    <row r="83" spans="1:4" x14ac:dyDescent="0.25">
      <c r="B83" t="s">
        <v>138</v>
      </c>
      <c r="C83">
        <f>DMAX(A71:D76,"Salary",B79:B80)</f>
        <v>3000</v>
      </c>
      <c r="D83" t="s">
        <v>139</v>
      </c>
    </row>
    <row r="84" spans="1:4" x14ac:dyDescent="0.25">
      <c r="B84" t="s">
        <v>140</v>
      </c>
      <c r="C84">
        <f>DSUM(A71:D76,"Salary",A79:E80)</f>
        <v>5500</v>
      </c>
      <c r="D84" t="s">
        <v>141</v>
      </c>
    </row>
    <row r="85" spans="1:4" x14ac:dyDescent="0.25">
      <c r="B85" t="s">
        <v>142</v>
      </c>
      <c r="C85">
        <f>DCOUNT(A71:D76,"Salary",A79:E80)</f>
        <v>2</v>
      </c>
      <c r="D85" t="s">
        <v>143</v>
      </c>
    </row>
    <row r="86" spans="1:4" x14ac:dyDescent="0.25">
      <c r="B86" t="s">
        <v>144</v>
      </c>
      <c r="C86">
        <f>DAVERAGE(A71:D76,"Salary",A79:E80)</f>
        <v>2750</v>
      </c>
      <c r="D86" t="s">
        <v>145</v>
      </c>
    </row>
    <row r="87" spans="1:4" x14ac:dyDescent="0.25">
      <c r="B87" t="s">
        <v>146</v>
      </c>
      <c r="C87">
        <f>COUNTA(B79:B87)</f>
        <v>7</v>
      </c>
      <c r="D87" t="s">
        <v>147</v>
      </c>
    </row>
    <row r="89" spans="1:4" x14ac:dyDescent="0.25">
      <c r="A89" s="2" t="s">
        <v>148</v>
      </c>
      <c r="B89" s="2"/>
      <c r="C89" s="2"/>
      <c r="D89" s="2"/>
    </row>
    <row r="90" spans="1:4" x14ac:dyDescent="0.25">
      <c r="A90">
        <v>2014</v>
      </c>
      <c r="B90" t="s">
        <v>149</v>
      </c>
      <c r="C90" s="12">
        <f>DATE(A90,A91,A92)</f>
        <v>41998</v>
      </c>
      <c r="D90" t="s">
        <v>150</v>
      </c>
    </row>
    <row r="91" spans="1:4" x14ac:dyDescent="0.25">
      <c r="A91">
        <v>12</v>
      </c>
      <c r="B91" t="s">
        <v>151</v>
      </c>
      <c r="C91" s="3">
        <f>DATEVALUE("25/12/2014")</f>
        <v>41998</v>
      </c>
      <c r="D91" t="s">
        <v>152</v>
      </c>
    </row>
    <row r="92" spans="1:4" x14ac:dyDescent="0.25">
      <c r="A92">
        <v>25</v>
      </c>
      <c r="B92" t="s">
        <v>153</v>
      </c>
      <c r="C92" s="3">
        <f>EDATE(C91,10)</f>
        <v>42302</v>
      </c>
      <c r="D92" t="s">
        <v>154</v>
      </c>
    </row>
    <row r="93" spans="1:4" x14ac:dyDescent="0.25">
      <c r="B93" t="s">
        <v>155</v>
      </c>
      <c r="C93" s="3">
        <f>EOMONTH(C91,10)</f>
        <v>42308</v>
      </c>
      <c r="D93" t="s">
        <v>156</v>
      </c>
    </row>
    <row r="94" spans="1:4" x14ac:dyDescent="0.25">
      <c r="A94" s="13">
        <v>0.78125</v>
      </c>
      <c r="B94" t="s">
        <v>157</v>
      </c>
      <c r="C94">
        <f>HOUR(A94)</f>
        <v>18</v>
      </c>
      <c r="D94" t="s">
        <v>158</v>
      </c>
    </row>
    <row r="95" spans="1:4" x14ac:dyDescent="0.25">
      <c r="A95">
        <v>11</v>
      </c>
      <c r="B95" t="s">
        <v>159</v>
      </c>
      <c r="C95">
        <f>MINUTE(A94)</f>
        <v>45</v>
      </c>
      <c r="D95" t="s">
        <v>160</v>
      </c>
    </row>
    <row r="96" spans="1:4" x14ac:dyDescent="0.25">
      <c r="A96">
        <v>12</v>
      </c>
      <c r="B96" t="s">
        <v>161</v>
      </c>
      <c r="C96">
        <f>SECOND(A94)</f>
        <v>0</v>
      </c>
      <c r="D96" t="s">
        <v>162</v>
      </c>
    </row>
    <row r="97" spans="1:4" x14ac:dyDescent="0.25">
      <c r="A97">
        <v>13</v>
      </c>
      <c r="B97" t="s">
        <v>163</v>
      </c>
      <c r="C97">
        <f>DAY(C91)</f>
        <v>25</v>
      </c>
      <c r="D97" t="s">
        <v>164</v>
      </c>
    </row>
    <row r="98" spans="1:4" x14ac:dyDescent="0.25">
      <c r="B98" t="s">
        <v>165</v>
      </c>
      <c r="C98">
        <f>MONTH(C91)</f>
        <v>12</v>
      </c>
      <c r="D98" t="s">
        <v>166</v>
      </c>
    </row>
    <row r="99" spans="1:4" x14ac:dyDescent="0.25">
      <c r="B99" t="s">
        <v>167</v>
      </c>
      <c r="C99">
        <f>YEAR(C91)</f>
        <v>2014</v>
      </c>
      <c r="D99" t="s">
        <v>168</v>
      </c>
    </row>
    <row r="100" spans="1:4" x14ac:dyDescent="0.25">
      <c r="B100" t="s">
        <v>169</v>
      </c>
      <c r="C100">
        <f>NETWORKDAYS(C91,C93)</f>
        <v>222</v>
      </c>
      <c r="D100" t="s">
        <v>170</v>
      </c>
    </row>
    <row r="101" spans="1:4" x14ac:dyDescent="0.25">
      <c r="B101" t="s">
        <v>171</v>
      </c>
      <c r="C101" s="14">
        <f ca="1">NOW()</f>
        <v>41830.653197453707</v>
      </c>
      <c r="D101" t="s">
        <v>172</v>
      </c>
    </row>
    <row r="102" spans="1:4" x14ac:dyDescent="0.25">
      <c r="B102" t="s">
        <v>173</v>
      </c>
      <c r="C102" s="13">
        <f>TIME(A95,A96,A97)</f>
        <v>0.46681712962962968</v>
      </c>
      <c r="D102" t="s">
        <v>174</v>
      </c>
    </row>
    <row r="103" spans="1:4" x14ac:dyDescent="0.25">
      <c r="B103" t="s">
        <v>175</v>
      </c>
      <c r="C103" s="3">
        <f ca="1">TODAY()</f>
        <v>41830</v>
      </c>
      <c r="D103" t="s">
        <v>176</v>
      </c>
    </row>
    <row r="104" spans="1:4" x14ac:dyDescent="0.25">
      <c r="B104" t="s">
        <v>177</v>
      </c>
      <c r="C104">
        <f>WEEKDAY(C91)</f>
        <v>5</v>
      </c>
      <c r="D104" t="s">
        <v>178</v>
      </c>
    </row>
    <row r="106" spans="1:4" x14ac:dyDescent="0.25">
      <c r="A106" s="2" t="s">
        <v>179</v>
      </c>
      <c r="B106" s="2"/>
      <c r="C106" s="2"/>
      <c r="D106" s="2"/>
    </row>
    <row r="107" spans="1:4" x14ac:dyDescent="0.25">
      <c r="A107">
        <v>112.4</v>
      </c>
      <c r="B107" t="s">
        <v>180</v>
      </c>
      <c r="C107">
        <f>EVEN(A107)</f>
        <v>114</v>
      </c>
      <c r="D107" t="s">
        <v>181</v>
      </c>
    </row>
    <row r="108" spans="1:4" x14ac:dyDescent="0.25">
      <c r="A108">
        <v>1.1000000000000001</v>
      </c>
      <c r="B108" t="s">
        <v>182</v>
      </c>
      <c r="C108">
        <f>ODD(A108)</f>
        <v>3</v>
      </c>
      <c r="D108" t="s">
        <v>183</v>
      </c>
    </row>
    <row r="109" spans="1:4" x14ac:dyDescent="0.25">
      <c r="A109">
        <v>85.123000000000005</v>
      </c>
      <c r="B109" t="s">
        <v>184</v>
      </c>
      <c r="C109">
        <f>CEILING(A109,1)</f>
        <v>86</v>
      </c>
      <c r="D109" t="s">
        <v>185</v>
      </c>
    </row>
    <row r="110" spans="1:4" x14ac:dyDescent="0.25">
      <c r="A110">
        <v>17.559999999999999</v>
      </c>
      <c r="B110" t="s">
        <v>186</v>
      </c>
      <c r="C110">
        <f>FLOOR(A110,1)</f>
        <v>17</v>
      </c>
      <c r="D110" t="s">
        <v>187</v>
      </c>
    </row>
    <row r="111" spans="1:4" x14ac:dyDescent="0.25">
      <c r="A111">
        <v>290</v>
      </c>
      <c r="B111" t="s">
        <v>188</v>
      </c>
      <c r="C111">
        <f>GCD(A111,25)</f>
        <v>5</v>
      </c>
      <c r="D111" t="s">
        <v>189</v>
      </c>
    </row>
    <row r="112" spans="1:4" x14ac:dyDescent="0.25">
      <c r="A112">
        <v>11.334546</v>
      </c>
      <c r="B112" t="s">
        <v>190</v>
      </c>
      <c r="C112">
        <f>INT(A112)</f>
        <v>11</v>
      </c>
      <c r="D112" t="s">
        <v>191</v>
      </c>
    </row>
    <row r="113" spans="1:4" x14ac:dyDescent="0.25">
      <c r="A113">
        <v>15</v>
      </c>
      <c r="B113" t="s">
        <v>192</v>
      </c>
      <c r="C113">
        <f>LCM(A113, 10)</f>
        <v>30</v>
      </c>
      <c r="D113" t="s">
        <v>193</v>
      </c>
    </row>
    <row r="114" spans="1:4" x14ac:dyDescent="0.25">
      <c r="A114">
        <v>10</v>
      </c>
      <c r="B114" t="s">
        <v>194</v>
      </c>
      <c r="C114">
        <f>MOD(A114,3)</f>
        <v>1</v>
      </c>
      <c r="D114" t="s">
        <v>195</v>
      </c>
    </row>
    <row r="115" spans="1:4" x14ac:dyDescent="0.25">
      <c r="A115">
        <v>100</v>
      </c>
      <c r="B115" t="s">
        <v>196</v>
      </c>
      <c r="C115">
        <f>QUOTIENT(A115,33)</f>
        <v>3</v>
      </c>
      <c r="D115" t="s">
        <v>197</v>
      </c>
    </row>
    <row r="116" spans="1:4" x14ac:dyDescent="0.25">
      <c r="B116" t="s">
        <v>198</v>
      </c>
      <c r="C116">
        <f>PRODUCT(2,4,8,16,32)</f>
        <v>32768</v>
      </c>
      <c r="D116" t="s">
        <v>199</v>
      </c>
    </row>
    <row r="117" spans="1:4" x14ac:dyDescent="0.25">
      <c r="B117" t="s">
        <v>200</v>
      </c>
      <c r="C117">
        <f ca="1">RANDBETWEEN(10,20)</f>
        <v>20</v>
      </c>
      <c r="D117" t="s">
        <v>201</v>
      </c>
    </row>
    <row r="118" spans="1:4" x14ac:dyDescent="0.25">
      <c r="A118">
        <v>123</v>
      </c>
      <c r="B118" t="s">
        <v>202</v>
      </c>
      <c r="C118" t="str">
        <f>ROMAN(A118)</f>
        <v>CXXIII</v>
      </c>
      <c r="D118" t="s">
        <v>203</v>
      </c>
    </row>
    <row r="119" spans="1:4" x14ac:dyDescent="0.25">
      <c r="A119">
        <v>123.456</v>
      </c>
      <c r="B119" t="s">
        <v>204</v>
      </c>
      <c r="C119">
        <f>ROUND(A119,2)</f>
        <v>123.46</v>
      </c>
      <c r="D119" t="s">
        <v>205</v>
      </c>
    </row>
    <row r="120" spans="1:4" x14ac:dyDescent="0.25">
      <c r="A120">
        <v>-54</v>
      </c>
      <c r="B120" t="s">
        <v>206</v>
      </c>
      <c r="C120">
        <f>SIGN(A120)</f>
        <v>-1</v>
      </c>
      <c r="D120" t="s">
        <v>207</v>
      </c>
    </row>
    <row r="121" spans="1:4" x14ac:dyDescent="0.25">
      <c r="A121">
        <v>12</v>
      </c>
      <c r="B121" t="s">
        <v>208</v>
      </c>
      <c r="C121">
        <f>SUMSQ(A121,5)</f>
        <v>169</v>
      </c>
      <c r="D121" t="s">
        <v>209</v>
      </c>
    </row>
    <row r="122" spans="1:4" x14ac:dyDescent="0.25">
      <c r="A122">
        <v>12.89</v>
      </c>
      <c r="B122" t="s">
        <v>210</v>
      </c>
      <c r="C122">
        <f>TRUNC(A122)</f>
        <v>12</v>
      </c>
      <c r="D122" t="s">
        <v>211</v>
      </c>
    </row>
    <row r="123" spans="1:4" x14ac:dyDescent="0.25">
      <c r="B123" t="s">
        <v>212</v>
      </c>
      <c r="C123">
        <f>SUBTOTAL(9,B72:B75)</f>
        <v>141</v>
      </c>
    </row>
    <row r="125" spans="1:4" x14ac:dyDescent="0.25">
      <c r="A125" s="2" t="s">
        <v>213</v>
      </c>
      <c r="B125" s="2"/>
      <c r="C125" s="2"/>
      <c r="D125" s="2"/>
    </row>
    <row r="126" spans="1:4" x14ac:dyDescent="0.25">
      <c r="A126">
        <v>111</v>
      </c>
      <c r="B126" t="s">
        <v>214</v>
      </c>
      <c r="C126">
        <f ca="1">CELL("col",A126)</f>
        <v>1</v>
      </c>
      <c r="D126" t="s">
        <v>215</v>
      </c>
    </row>
    <row r="127" spans="1:4" x14ac:dyDescent="0.25">
      <c r="B127" t="s">
        <v>216</v>
      </c>
      <c r="C127" t="str">
        <f ca="1">INFO("system")</f>
        <v>pcdos</v>
      </c>
      <c r="D127" t="s">
        <v>217</v>
      </c>
    </row>
    <row r="128" spans="1:4" x14ac:dyDescent="0.25">
      <c r="B128" t="s">
        <v>218</v>
      </c>
      <c r="C128" t="b">
        <f>ISBLANK(A128)</f>
        <v>1</v>
      </c>
      <c r="D128" t="s">
        <v>219</v>
      </c>
    </row>
    <row r="129" spans="1:4" x14ac:dyDescent="0.25">
      <c r="B129" t="s">
        <v>220</v>
      </c>
      <c r="C129" t="b">
        <f>ISERR(A129)</f>
        <v>0</v>
      </c>
      <c r="D129" t="s">
        <v>221</v>
      </c>
    </row>
    <row r="130" spans="1:4" x14ac:dyDescent="0.25">
      <c r="A130">
        <v>14</v>
      </c>
      <c r="B130" t="s">
        <v>222</v>
      </c>
      <c r="C130" t="b">
        <f>ISEVEN(A130)</f>
        <v>1</v>
      </c>
      <c r="D130" t="s">
        <v>223</v>
      </c>
    </row>
    <row r="131" spans="1:4" x14ac:dyDescent="0.25">
      <c r="A131">
        <v>64</v>
      </c>
      <c r="B131" t="s">
        <v>224</v>
      </c>
      <c r="C131" t="b">
        <f>ISODD(A131)</f>
        <v>0</v>
      </c>
      <c r="D131" t="s">
        <v>225</v>
      </c>
    </row>
    <row r="132" spans="1:4" x14ac:dyDescent="0.25">
      <c r="A132" t="b">
        <v>1</v>
      </c>
      <c r="B132" t="s">
        <v>226</v>
      </c>
      <c r="C132" t="b">
        <f>ISLOGICAL(A132)</f>
        <v>1</v>
      </c>
      <c r="D132" t="s">
        <v>227</v>
      </c>
    </row>
    <row r="133" spans="1:4" x14ac:dyDescent="0.25">
      <c r="A133">
        <v>123</v>
      </c>
      <c r="B133" t="s">
        <v>228</v>
      </c>
      <c r="C133" t="b">
        <f>ISNONTEXT(A133)</f>
        <v>1</v>
      </c>
      <c r="D133" t="s">
        <v>229</v>
      </c>
    </row>
    <row r="134" spans="1:4" x14ac:dyDescent="0.25">
      <c r="A134" t="s">
        <v>230</v>
      </c>
      <c r="B134" t="s">
        <v>231</v>
      </c>
      <c r="C134" t="b">
        <f>ISNUMBER(A134)</f>
        <v>0</v>
      </c>
      <c r="D134" t="s">
        <v>232</v>
      </c>
    </row>
    <row r="135" spans="1:4" x14ac:dyDescent="0.25">
      <c r="A135">
        <v>54</v>
      </c>
      <c r="B135" t="s">
        <v>233</v>
      </c>
      <c r="C135" t="b">
        <f>ISTEXT(A135)</f>
        <v>0</v>
      </c>
      <c r="D135" t="s">
        <v>234</v>
      </c>
    </row>
    <row r="136" spans="1:4" x14ac:dyDescent="0.25">
      <c r="A136" s="15">
        <v>41835</v>
      </c>
      <c r="B136" t="s">
        <v>235</v>
      </c>
      <c r="C136">
        <f>N(A136)</f>
        <v>41835</v>
      </c>
      <c r="D136" t="s">
        <v>236</v>
      </c>
    </row>
    <row r="137" spans="1:4" x14ac:dyDescent="0.25">
      <c r="A137" t="s">
        <v>16</v>
      </c>
      <c r="B137" t="s">
        <v>237</v>
      </c>
      <c r="C137">
        <f>TYPE(A137)</f>
        <v>2</v>
      </c>
      <c r="D137" t="s">
        <v>238</v>
      </c>
    </row>
    <row r="139" spans="1:4" x14ac:dyDescent="0.25">
      <c r="A139" s="2" t="s">
        <v>239</v>
      </c>
      <c r="B139" s="2"/>
      <c r="C139" s="2"/>
      <c r="D139" s="2"/>
    </row>
    <row r="140" spans="1:4" x14ac:dyDescent="0.25">
      <c r="A140" t="s">
        <v>240</v>
      </c>
      <c r="B140" t="s">
        <v>241</v>
      </c>
      <c r="C140" t="s">
        <v>242</v>
      </c>
    </row>
    <row r="141" spans="1:4" x14ac:dyDescent="0.25">
      <c r="A141">
        <v>2</v>
      </c>
      <c r="B141">
        <v>5</v>
      </c>
      <c r="C141">
        <f>A141+B141</f>
        <v>7</v>
      </c>
    </row>
    <row r="142" spans="1:4" x14ac:dyDescent="0.25">
      <c r="A142">
        <v>5</v>
      </c>
      <c r="B142">
        <v>9</v>
      </c>
      <c r="C142">
        <f>A142+B142</f>
        <v>14</v>
      </c>
    </row>
    <row r="143" spans="1:4" x14ac:dyDescent="0.25">
      <c r="A143">
        <v>9</v>
      </c>
      <c r="B143">
        <v>8</v>
      </c>
      <c r="C143">
        <f>A143+B143</f>
        <v>17</v>
      </c>
    </row>
    <row r="144" spans="1:4" x14ac:dyDescent="0.25">
      <c r="A144">
        <v>21</v>
      </c>
      <c r="B144">
        <v>14</v>
      </c>
      <c r="C144">
        <f>A144+B144</f>
        <v>35</v>
      </c>
    </row>
    <row r="145" spans="1:3" x14ac:dyDescent="0.25">
      <c r="A145">
        <v>8</v>
      </c>
      <c r="B145">
        <v>54</v>
      </c>
      <c r="C145">
        <f>A145+B145</f>
        <v>62</v>
      </c>
    </row>
    <row r="146" spans="1:3" x14ac:dyDescent="0.25">
      <c r="A146">
        <v>3</v>
      </c>
      <c r="B146">
        <v>71</v>
      </c>
      <c r="C146">
        <f>A146+B146</f>
        <v>74</v>
      </c>
    </row>
    <row r="147" spans="1:3" x14ac:dyDescent="0.25">
      <c r="A147">
        <v>54</v>
      </c>
      <c r="B147">
        <v>21</v>
      </c>
      <c r="C147">
        <f>A147+B147</f>
        <v>75</v>
      </c>
    </row>
    <row r="148" spans="1:3" x14ac:dyDescent="0.25">
      <c r="A148">
        <v>76</v>
      </c>
      <c r="B148">
        <v>2</v>
      </c>
      <c r="C148">
        <f>A148+B148</f>
        <v>78</v>
      </c>
    </row>
    <row r="149" spans="1:3" x14ac:dyDescent="0.25">
      <c r="A149">
        <v>71</v>
      </c>
      <c r="B149">
        <v>23</v>
      </c>
      <c r="C149">
        <f>A149+B149</f>
        <v>94</v>
      </c>
    </row>
    <row r="150" spans="1:3" x14ac:dyDescent="0.25">
      <c r="A150">
        <v>23</v>
      </c>
      <c r="B150">
        <v>76</v>
      </c>
      <c r="C150">
        <f>A150+B150</f>
        <v>99</v>
      </c>
    </row>
    <row r="151" spans="1:3" x14ac:dyDescent="0.25">
      <c r="A151">
        <v>99</v>
      </c>
      <c r="B151">
        <v>3</v>
      </c>
      <c r="C151">
        <f>A151+B151</f>
        <v>102</v>
      </c>
    </row>
    <row r="152" spans="1:3" x14ac:dyDescent="0.25">
      <c r="A152">
        <v>14</v>
      </c>
      <c r="B152">
        <v>99</v>
      </c>
      <c r="C152">
        <f>A152+B152</f>
        <v>113</v>
      </c>
    </row>
    <row r="153" spans="1:3" x14ac:dyDescent="0.25">
      <c r="C153">
        <f>AVERAGE(C141:C152)</f>
        <v>64.166666666666671</v>
      </c>
    </row>
  </sheetData>
  <mergeCells count="8">
    <mergeCell ref="A125:D125"/>
    <mergeCell ref="A139:D139"/>
    <mergeCell ref="A2:D2"/>
    <mergeCell ref="A32:D32"/>
    <mergeCell ref="A43:D43"/>
    <mergeCell ref="A69:D69"/>
    <mergeCell ref="A89:D89"/>
    <mergeCell ref="A106:D106"/>
  </mergeCells>
  <conditionalFormatting sqref="B141">
    <cfRule type="cellIs" dxfId="3" priority="2" operator="greaterThan">
      <formula>50</formula>
    </cfRule>
  </conditionalFormatting>
  <conditionalFormatting sqref="A141:A152">
    <cfRule type="cellIs" dxfId="1" priority="1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SV</vt:lpstr>
    </vt:vector>
  </TitlesOfParts>
  <Company>EON-IT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c23833</dc:creator>
  <cp:lastModifiedBy>c23833</cp:lastModifiedBy>
  <dcterms:created xsi:type="dcterms:W3CDTF">2014-07-10T14:39:12Z</dcterms:created>
  <dcterms:modified xsi:type="dcterms:W3CDTF">2014-07-10T14:41:16Z</dcterms:modified>
</cp:coreProperties>
</file>